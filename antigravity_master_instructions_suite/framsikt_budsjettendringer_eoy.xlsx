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sikt_Import_Klar" sheetId="1" state="visible" r:id="rId1"/>
    <sheet xmlns:r="http://schemas.openxmlformats.org/officeDocument/2006/relationships" name="Recommender_Tiltaksmatrise" sheetId="2" state="visible" r:id="rId2"/>
    <sheet xmlns:r="http://schemas.openxmlformats.org/officeDocument/2006/relationships" name="Oppsummering_Per_Om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kr;[Red]-#,##0 kr;0 kr"/>
  </numFmts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26" customWidth="1" min="3" max="3"/>
    <col width="17" customWidth="1" min="4" max="4"/>
    <col width="18" customWidth="1" min="5" max="5"/>
    <col width="13" customWidth="1" min="6" max="6"/>
    <col width="27" customWidth="1" min="7" max="7"/>
    <col width="21" customWidth="1" min="8" max="8"/>
    <col width="23" customWidth="1" min="9" max="9"/>
    <col width="28" customWidth="1" min="10" max="10"/>
    <col width="25" customWidth="1" min="11" max="11"/>
    <col width="45" customWidth="1" min="12" max="12"/>
  </cols>
  <sheetData>
    <row r="1">
      <c r="A1" s="1" t="inlineStr">
        <is>
          <t>FRAMSIKT ØKONOMIPLAN &amp; ÅRSBUDSJETT - IMPORTFIL FOR BUDSJETTENDRINGER</t>
        </is>
      </c>
    </row>
    <row r="2">
      <c r="A2" s="2" t="inlineStr">
        <is>
          <t>Systemgenererte omdisponeringer og avvikstiltak EOY 2026 | Kristiansand Kommune | KOSTRA-standard</t>
        </is>
      </c>
    </row>
    <row r="3"/>
    <row r="4" ht="28" customHeight="1">
      <c r="A4" s="3" t="inlineStr">
        <is>
          <t>Budsjettår</t>
        </is>
      </c>
      <c r="B4" s="3" t="inlineStr">
        <is>
          <t>Måned/Periodisering</t>
        </is>
      </c>
      <c r="C4" s="3" t="inlineStr">
        <is>
          <t>Område</t>
        </is>
      </c>
      <c r="D4" s="3" t="inlineStr">
        <is>
          <t>Ansvar (Enhet)</t>
        </is>
      </c>
      <c r="E4" s="3" t="inlineStr">
        <is>
          <t>KOSTRA Funksjon</t>
        </is>
      </c>
      <c r="F4" s="3" t="inlineStr">
        <is>
          <t>KOSTRA Art</t>
        </is>
      </c>
      <c r="G4" s="3" t="inlineStr">
        <is>
          <t>Artekst</t>
        </is>
      </c>
      <c r="H4" s="3" t="inlineStr">
        <is>
          <t>Endring i kr (EOY)</t>
        </is>
      </c>
      <c r="I4" s="3" t="inlineStr">
        <is>
          <t>Fullårseffekt (2027)</t>
        </is>
      </c>
      <c r="J4" s="3" t="inlineStr">
        <is>
          <t>Tiltakskategori</t>
        </is>
      </c>
      <c r="K4" s="3" t="inlineStr">
        <is>
          <t>Lovhjemmel / Myndighet</t>
        </is>
      </c>
      <c r="L4" s="3" t="inlineStr">
        <is>
          <t>Beskrivelse / Begrunnelse</t>
        </is>
      </c>
    </row>
    <row r="5">
      <c r="A5" s="4" t="n">
        <v>2026</v>
      </c>
      <c r="B5" s="4" t="inlineStr">
        <is>
          <t>M9-M12</t>
        </is>
      </c>
      <c r="C5" s="5" t="inlineStr">
        <is>
          <t>Område 2 Oppvekst</t>
        </is>
      </c>
      <c r="D5" s="4" t="n">
        <v>20210</v>
      </c>
      <c r="E5" s="4" t="n">
        <v>202</v>
      </c>
      <c r="F5" s="4" t="n">
        <v>102000</v>
      </c>
      <c r="G5" s="5" t="inlineStr">
        <is>
          <t>Vikarlønn</t>
        </is>
      </c>
      <c r="H5" s="6" t="n">
        <v>-350000</v>
      </c>
      <c r="I5" s="6" t="n">
        <v>-1050000</v>
      </c>
      <c r="J5" s="5" t="inlineStr">
        <is>
          <t>Administrative EOY</t>
        </is>
      </c>
      <c r="K5" s="5" t="inlineStr">
        <is>
          <t>Kommuneloven § 13-1</t>
        </is>
      </c>
      <c r="L5" s="5" t="inlineStr">
        <is>
          <t>Vikar- og midlertidig ansettelsesstopp i Vågsbygd skolekrets (M9-M12)</t>
        </is>
      </c>
    </row>
    <row r="6">
      <c r="A6" s="4" t="n">
        <v>2026</v>
      </c>
      <c r="B6" s="4" t="inlineStr">
        <is>
          <t>M9-M12</t>
        </is>
      </c>
      <c r="C6" s="5" t="inlineStr">
        <is>
          <t>Område 2 Oppvekst</t>
        </is>
      </c>
      <c r="D6" s="4" t="n">
        <v>20210</v>
      </c>
      <c r="E6" s="4" t="n">
        <v>202</v>
      </c>
      <c r="F6" s="4" t="n">
        <v>104000</v>
      </c>
      <c r="G6" s="5" t="inlineStr">
        <is>
          <t>Overtidslønn</t>
        </is>
      </c>
      <c r="H6" s="6" t="n">
        <v>-180000</v>
      </c>
      <c r="I6" s="6" t="n">
        <v>-540000</v>
      </c>
      <c r="J6" s="5" t="inlineStr">
        <is>
          <t>Administrative EOY</t>
        </is>
      </c>
      <c r="K6" s="5" t="inlineStr">
        <is>
          <t>Kommuneloven § 13-1</t>
        </is>
      </c>
      <c r="L6" s="5" t="inlineStr">
        <is>
          <t>Strammere godkjenningsrutiner for pålagt overtid på skolenivå</t>
        </is>
      </c>
    </row>
    <row r="7">
      <c r="A7" s="7" t="n">
        <v>2026</v>
      </c>
      <c r="B7" s="7" t="inlineStr">
        <is>
          <t>M09</t>
        </is>
      </c>
      <c r="C7" s="8" t="inlineStr">
        <is>
          <t>Område 2 Oppvekst</t>
        </is>
      </c>
      <c r="D7" s="7" t="n">
        <v>20210</v>
      </c>
      <c r="E7" s="7" t="n">
        <v>202</v>
      </c>
      <c r="F7" s="7" t="n">
        <v>169000</v>
      </c>
      <c r="G7" s="8" t="inlineStr">
        <is>
          <t>Sykelønnsrefusjon NAV</t>
        </is>
      </c>
      <c r="H7" s="9" t="n">
        <v>220000</v>
      </c>
      <c r="I7" s="9" t="n">
        <v>0</v>
      </c>
      <c r="J7" s="8" t="inlineStr">
        <is>
          <t>Teknisk EOY</t>
        </is>
      </c>
      <c r="K7" s="8" t="inlineStr">
        <is>
          <t>Periodisering</t>
        </is>
      </c>
      <c r="L7" s="8" t="inlineStr">
        <is>
          <t>Korreksjon for etterslep på NAV-refusjoner (Sykelønn art 1690)</t>
        </is>
      </c>
    </row>
    <row r="8">
      <c r="A8" s="4" t="n">
        <v>2026</v>
      </c>
      <c r="B8" s="4" t="inlineStr">
        <is>
          <t>M9-M12</t>
        </is>
      </c>
      <c r="C8" s="5" t="inlineStr">
        <is>
          <t>Område 3 Helse/Mestring</t>
        </is>
      </c>
      <c r="D8" s="4" t="n">
        <v>25310</v>
      </c>
      <c r="E8" s="4" t="n">
        <v>253</v>
      </c>
      <c r="F8" s="4" t="n">
        <v>102000</v>
      </c>
      <c r="G8" s="5" t="inlineStr">
        <is>
          <t>Vikarlønn</t>
        </is>
      </c>
      <c r="H8" s="6" t="n">
        <v>-420000</v>
      </c>
      <c r="I8" s="6" t="n">
        <v>-1260000</v>
      </c>
      <c r="J8" s="5" t="inlineStr">
        <is>
          <t>Administrative EOY</t>
        </is>
      </c>
      <c r="K8" s="5" t="inlineStr">
        <is>
          <t>Kommuneloven § 13-1</t>
        </is>
      </c>
      <c r="L8" s="5" t="inlineStr">
        <is>
          <t>Optur Plus kveld/helg optimalisering og innleiestopp i omsorgssentre</t>
        </is>
      </c>
    </row>
    <row r="9">
      <c r="A9" s="4" t="n">
        <v>2026</v>
      </c>
      <c r="B9" s="4" t="inlineStr">
        <is>
          <t>M9-M12</t>
        </is>
      </c>
      <c r="C9" s="5" t="inlineStr">
        <is>
          <t>Område 3 Helse/Mestring</t>
        </is>
      </c>
      <c r="D9" s="4" t="n">
        <v>25310</v>
      </c>
      <c r="E9" s="4" t="n">
        <v>253</v>
      </c>
      <c r="F9" s="4" t="n">
        <v>104000</v>
      </c>
      <c r="G9" s="5" t="inlineStr">
        <is>
          <t>Overtidslønn</t>
        </is>
      </c>
      <c r="H9" s="6" t="n">
        <v>-250000</v>
      </c>
      <c r="I9" s="6" t="n">
        <v>-750000</v>
      </c>
      <c r="J9" s="5" t="inlineStr">
        <is>
          <t>Administrative EOY</t>
        </is>
      </c>
      <c r="K9" s="5" t="inlineStr">
        <is>
          <t>Kommuneloven § 13-1</t>
        </is>
      </c>
      <c r="L9" s="5" t="inlineStr">
        <is>
          <t>Målrettet reduksjon i merarbeid og overtid ved Valhalla Omsorgssenter</t>
        </is>
      </c>
    </row>
    <row r="10">
      <c r="A10" s="4" t="n">
        <v>2026</v>
      </c>
      <c r="B10" s="4" t="inlineStr">
        <is>
          <t>M9-M12</t>
        </is>
      </c>
      <c r="C10" s="5" t="inlineStr">
        <is>
          <t>Område 11 Org/Teknologi</t>
        </is>
      </c>
      <c r="D10" s="4" t="n">
        <v>11200</v>
      </c>
      <c r="E10" s="4" t="n">
        <v>120</v>
      </c>
      <c r="F10" s="4" t="n">
        <v>127000</v>
      </c>
      <c r="G10" s="5" t="inlineStr">
        <is>
          <t>Konsulenttjenester</t>
        </is>
      </c>
      <c r="H10" s="6" t="n">
        <v>-500000</v>
      </c>
      <c r="I10" s="6" t="n">
        <v>-1500000</v>
      </c>
      <c r="J10" s="5" t="inlineStr">
        <is>
          <t>Administrative EOY</t>
        </is>
      </c>
      <c r="K10" s="5" t="inlineStr">
        <is>
          <t>Kommuneloven § 13-1</t>
        </is>
      </c>
      <c r="L10" s="5" t="inlineStr">
        <is>
          <t>Frys i bruk av eksterne IT- og organisasjonskonsulenter</t>
        </is>
      </c>
    </row>
    <row r="11">
      <c r="A11" s="4" t="n">
        <v>2026</v>
      </c>
      <c r="B11" s="4" t="inlineStr">
        <is>
          <t>M9-M12</t>
        </is>
      </c>
      <c r="C11" s="5" t="inlineStr">
        <is>
          <t>Område 5 By/Sted</t>
        </is>
      </c>
      <c r="D11" s="4" t="n">
        <v>36500</v>
      </c>
      <c r="E11" s="4" t="n">
        <v>130</v>
      </c>
      <c r="F11" s="4" t="n">
        <v>119900</v>
      </c>
      <c r="G11" s="5" t="inlineStr">
        <is>
          <t>Driftsmateriell</t>
        </is>
      </c>
      <c r="H11" s="6" t="n">
        <v>-150000</v>
      </c>
      <c r="I11" s="6" t="n">
        <v>-450000</v>
      </c>
      <c r="J11" s="5" t="inlineStr">
        <is>
          <t>Administrative EOY</t>
        </is>
      </c>
      <c r="K11" s="5" t="inlineStr">
        <is>
          <t>Kommuneloven § 13-1</t>
        </is>
      </c>
      <c r="L11" s="5" t="inlineStr">
        <is>
          <t>Utsettelse av ikke-kritiske vedlikeholdsinnkjøp på formålsbygg</t>
        </is>
      </c>
    </row>
    <row r="12">
      <c r="A12" s="10" t="n">
        <v>2026</v>
      </c>
      <c r="B12" s="10" t="inlineStr">
        <is>
          <t>M12</t>
        </is>
      </c>
      <c r="C12" s="11" t="inlineStr">
        <is>
          <t>Område 9 Finans</t>
        </is>
      </c>
      <c r="D12" s="10" t="n">
        <v>90000</v>
      </c>
      <c r="E12" s="10" t="n">
        <v>880</v>
      </c>
      <c r="F12" s="10" t="n">
        <v>195000</v>
      </c>
      <c r="G12" s="11" t="inlineStr">
        <is>
          <t>Bruk av disposisjonsfond</t>
        </is>
      </c>
      <c r="H12" s="12" t="n">
        <v>-800000</v>
      </c>
      <c r="I12" s="12" t="n">
        <v>0</v>
      </c>
      <c r="J12" s="11" t="inlineStr">
        <is>
          <t>Politisk Vedtak EOY</t>
        </is>
      </c>
      <c r="K12" s="11" t="inlineStr">
        <is>
          <t>Kommuneloven § 14-6</t>
        </is>
      </c>
      <c r="L12" s="11" t="inlineStr">
        <is>
          <t>Bystyrevedtak: Inndragning fra Disposisjonsfond for å dekke restavvik EOY</t>
        </is>
      </c>
    </row>
    <row r="13">
      <c r="A13" s="10" t="n">
        <v>2026</v>
      </c>
      <c r="B13" s="10" t="inlineStr">
        <is>
          <t>M12</t>
        </is>
      </c>
      <c r="C13" s="11" t="inlineStr">
        <is>
          <t>Område 3 Helse/Mestring</t>
        </is>
      </c>
      <c r="D13" s="10" t="n">
        <v>25310</v>
      </c>
      <c r="E13" s="10" t="n">
        <v>253</v>
      </c>
      <c r="F13" s="10" t="n">
        <v>190000</v>
      </c>
      <c r="G13" s="11" t="inlineStr">
        <is>
          <t>Intern omdisponering</t>
        </is>
      </c>
      <c r="H13" s="12" t="n">
        <v>800000</v>
      </c>
      <c r="I13" s="12" t="n">
        <v>0</v>
      </c>
      <c r="J13" s="11" t="inlineStr">
        <is>
          <t>Politisk Vedtak EOY</t>
        </is>
      </c>
      <c r="K13" s="11" t="inlineStr">
        <is>
          <t>Kommuneloven § 14-10</t>
        </is>
      </c>
      <c r="L13" s="11" t="inlineStr">
        <is>
          <t>Bystyrevedtak: Rammeoverføring fra sentral finansreserve til Helse og Mestring</t>
        </is>
      </c>
    </row>
    <row r="14">
      <c r="A14" s="13" t="n">
        <v>2027</v>
      </c>
      <c r="B14" s="13" t="inlineStr">
        <is>
          <t>M01-M12</t>
        </is>
      </c>
      <c r="C14" s="14" t="inlineStr">
        <is>
          <t>Område 2 Oppvekst</t>
        </is>
      </c>
      <c r="D14" s="13" t="n">
        <v>20210</v>
      </c>
      <c r="E14" s="13" t="n">
        <v>202</v>
      </c>
      <c r="F14" s="13" t="n">
        <v>101000</v>
      </c>
      <c r="G14" s="14" t="inlineStr">
        <is>
          <t>Fast lønn</t>
        </is>
      </c>
      <c r="H14" s="15" t="n">
        <v>-1200000</v>
      </c>
      <c r="I14" s="15" t="n">
        <v>-1200000</v>
      </c>
      <c r="J14" s="14" t="inlineStr">
        <is>
          <t>Neste års budsjett (2027)</t>
        </is>
      </c>
      <c r="K14" s="14" t="inlineStr">
        <is>
          <t>Kommuneloven § 14-3</t>
        </is>
      </c>
      <c r="L14" s="14" t="inlineStr">
        <is>
          <t>Strukturell tilpasning: Stillingseffektivisering ved naturlig avgang i skolesektoren</t>
        </is>
      </c>
    </row>
    <row r="15">
      <c r="A15" s="13" t="n">
        <v>2027</v>
      </c>
      <c r="B15" s="13" t="inlineStr">
        <is>
          <t>M01-M12</t>
        </is>
      </c>
      <c r="C15" s="14" t="inlineStr">
        <is>
          <t>Område 3 Helse/Mestring</t>
        </is>
      </c>
      <c r="D15" s="13" t="n">
        <v>25310</v>
      </c>
      <c r="E15" s="13" t="n">
        <v>253</v>
      </c>
      <c r="F15" s="13" t="n">
        <v>101000</v>
      </c>
      <c r="G15" s="14" t="inlineStr">
        <is>
          <t>Fast lønn</t>
        </is>
      </c>
      <c r="H15" s="15" t="n">
        <v>-1500000</v>
      </c>
      <c r="I15" s="15" t="n">
        <v>-1500000</v>
      </c>
      <c r="J15" s="14" t="inlineStr">
        <is>
          <t>Neste års budsjett (2027)</t>
        </is>
      </c>
      <c r="K15" s="14" t="inlineStr">
        <is>
          <t>Kommuneloven § 14-3</t>
        </is>
      </c>
      <c r="L15" s="14" t="inlineStr">
        <is>
          <t>Ressursallokering: Vaktbok-omstrukturering og faste turnusstillinger framfor innleie</t>
        </is>
      </c>
    </row>
    <row r="16">
      <c r="A16" s="13" t="n">
        <v>2027</v>
      </c>
      <c r="B16" s="13" t="inlineStr">
        <is>
          <t>M01-M12</t>
        </is>
      </c>
      <c r="C16" s="14" t="inlineStr">
        <is>
          <t>Område 12 Økonomi</t>
        </is>
      </c>
      <c r="D16" s="13" t="n">
        <v>12100</v>
      </c>
      <c r="E16" s="13" t="n">
        <v>120</v>
      </c>
      <c r="F16" s="13" t="n">
        <v>127000</v>
      </c>
      <c r="G16" s="14" t="inlineStr">
        <is>
          <t>Konsulenttjenester</t>
        </is>
      </c>
      <c r="H16" s="15" t="n">
        <v>-800000</v>
      </c>
      <c r="I16" s="15" t="n">
        <v>-800000</v>
      </c>
      <c r="J16" s="14" t="inlineStr">
        <is>
          <t>Neste års budsjett (2027)</t>
        </is>
      </c>
      <c r="K16" s="14" t="inlineStr">
        <is>
          <t>Kommuneloven § 14-3</t>
        </is>
      </c>
      <c r="L16" s="14" t="inlineStr">
        <is>
          <t>Gevinstrealisering KI-satsing: Redusert ekstern bistand til økonomianalyser og rapportering</t>
        </is>
      </c>
    </row>
    <row r="17">
      <c r="A17" s="16" t="n"/>
      <c r="B17" s="16" t="n"/>
      <c r="C17" s="16" t="n"/>
      <c r="D17" s="16" t="n"/>
      <c r="E17" s="16" t="n"/>
      <c r="F17" s="16" t="n"/>
      <c r="G17" s="17" t="inlineStr">
        <is>
          <t>SUM BUDSJETTENDRINGER</t>
        </is>
      </c>
      <c r="H17" s="18">
        <f>SUM(H5:H16)</f>
        <v/>
      </c>
      <c r="I17" s="18">
        <f>SUM(I5:I16)</f>
        <v/>
      </c>
      <c r="J17" s="16" t="n"/>
      <c r="K17" s="16" t="n"/>
      <c r="L17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7" customWidth="1" min="2" max="2"/>
    <col width="38" customWidth="1" min="3" max="3"/>
    <col width="40" customWidth="1" min="4" max="4"/>
    <col width="35" customWidth="1" min="5" max="5"/>
    <col width="29" customWidth="1" min="6" max="6"/>
    <col width="21" customWidth="1" min="7" max="7"/>
    <col width="43" customWidth="1" min="8" max="8"/>
    <col width="35" customWidth="1" min="9" max="9"/>
    <col width="27" customWidth="1" min="10" max="10"/>
  </cols>
  <sheetData>
    <row r="1">
      <c r="A1" s="1" t="inlineStr">
        <is>
          <t>RECOMMENDER-MODUL: KRISTIANSAND KOMMUNE TILTAKSMATRISE</t>
        </is>
      </c>
    </row>
    <row r="2">
      <c r="A2" s="2" t="inlineStr">
        <is>
          <t>Kategorisert etter Tidshorisont, Myndighetsnivå (Juss), Sparingspotensial og Risikovurdering</t>
        </is>
      </c>
    </row>
    <row r="3"/>
    <row r="4" ht="28" customHeight="1">
      <c r="A4" s="3" t="inlineStr">
        <is>
          <t>Tiltaks-ID</t>
        </is>
      </c>
      <c r="B4" s="3" t="inlineStr">
        <is>
          <t>Tidshorisont</t>
        </is>
      </c>
      <c r="C4" s="3" t="inlineStr">
        <is>
          <t>Kategori / Tiltakstype</t>
        </is>
      </c>
      <c r="D4" s="3" t="inlineStr">
        <is>
          <t>Beskrivelse av Tiltak</t>
        </is>
      </c>
      <c r="E4" s="3" t="inlineStr">
        <is>
          <t>Hjemmel &amp; Myndighetsnivå</t>
        </is>
      </c>
      <c r="F4" s="3" t="inlineStr">
        <is>
          <t>Sparingspotensial EOY 2026</t>
        </is>
      </c>
      <c r="G4" s="3" t="inlineStr">
        <is>
          <t>Fullårseffekt 2027</t>
        </is>
      </c>
      <c r="H4" s="3" t="inlineStr">
        <is>
          <t>Gjennomførbarhet</t>
        </is>
      </c>
      <c r="I4" s="3" t="inlineStr">
        <is>
          <t>Risiko for Tjenestekvalitet / Arbeidsmiljø</t>
        </is>
      </c>
      <c r="J4" s="3" t="inlineStr">
        <is>
          <t>Status / Anbefaling</t>
        </is>
      </c>
    </row>
    <row r="5">
      <c r="A5" s="4" t="inlineStr">
        <is>
          <t>TLT-01</t>
        </is>
      </c>
      <c r="B5" s="4" t="inlineStr">
        <is>
          <t>Kortsiktig EOY (M9-M12)</t>
        </is>
      </c>
      <c r="C5" s="5" t="inlineStr">
        <is>
          <t>Ansettelses- og vikarstopp</t>
        </is>
      </c>
      <c r="D5" s="5" t="inlineStr">
        <is>
          <t>Midlertidig inndragning av vakanser og stram vurdering av vikarbehov på tvers av enheter</t>
        </is>
      </c>
      <c r="E5" s="5" t="inlineStr">
        <is>
          <t>Administrativt (Kommuneloven § 13-1 - Kommunedirektør)</t>
        </is>
      </c>
      <c r="F5" s="6" t="n">
        <v>-770000</v>
      </c>
      <c r="G5" s="6" t="n">
        <v>-2310000</v>
      </c>
      <c r="H5" s="4" t="inlineStr">
        <is>
          <t>Høy</t>
        </is>
      </c>
      <c r="I5" s="5" t="inlineStr">
        <is>
          <t>Middels - Krever prioritering av kjerneoppgaver i helse og skole</t>
        </is>
      </c>
      <c r="J5" s="5" t="inlineStr">
        <is>
          <t>🔴 ANBEFALT UTLØST STAKS</t>
        </is>
      </c>
    </row>
    <row r="6">
      <c r="A6" s="4" t="inlineStr">
        <is>
          <t>TLT-02</t>
        </is>
      </c>
      <c r="B6" s="4" t="inlineStr">
        <is>
          <t>Kortsiktig EOY (M9-M12)</t>
        </is>
      </c>
      <c r="C6" s="5" t="inlineStr">
        <is>
          <t>Overtids- og merarbeidsstopp</t>
        </is>
      </c>
      <c r="D6" s="5" t="inlineStr">
        <is>
          <t>Streng forhåndsgodkjenning av overtid (art 1040) og omfordeling av vakter via Optur Plus</t>
        </is>
      </c>
      <c r="E6" s="5" t="inlineStr">
        <is>
          <t>Administrativt (Kommuneloven § 13-1 - Enhetsleder)</t>
        </is>
      </c>
      <c r="F6" s="6" t="n">
        <v>-430000</v>
      </c>
      <c r="G6" s="6" t="n">
        <v>-1290000</v>
      </c>
      <c r="H6" s="4" t="inlineStr">
        <is>
          <t>Høy</t>
        </is>
      </c>
      <c r="I6" s="5" t="inlineStr">
        <is>
          <t>Lav - Forhindrer slitasje på fast ansatte</t>
        </is>
      </c>
      <c r="J6" s="5" t="inlineStr">
        <is>
          <t>🔴 ANBEFALT UTLØST STAKS</t>
        </is>
      </c>
    </row>
    <row r="7">
      <c r="A7" s="4" t="inlineStr">
        <is>
          <t>TLT-03</t>
        </is>
      </c>
      <c r="B7" s="4" t="inlineStr">
        <is>
          <t>Kortsiktig EOY (M9-M12)</t>
        </is>
      </c>
      <c r="C7" s="5" t="inlineStr">
        <is>
          <t>Frys i konsulentbruk</t>
        </is>
      </c>
      <c r="D7" s="5" t="inlineStr">
        <is>
          <t>Stopp i nye konsulentavtaler og innskrenkning av pågående ekstern bistand (art 1270)</t>
        </is>
      </c>
      <c r="E7" s="5" t="inlineStr">
        <is>
          <t>Administrativt (Kommuneloven § 13-1 - Kommunedirektør)</t>
        </is>
      </c>
      <c r="F7" s="6" t="n">
        <v>-500000</v>
      </c>
      <c r="G7" s="6" t="n">
        <v>-1500000</v>
      </c>
      <c r="H7" s="4" t="inlineStr">
        <is>
          <t>Høy</t>
        </is>
      </c>
      <c r="I7" s="5" t="inlineStr">
        <is>
          <t>Lav - Interne ressurser overtar utredninger</t>
        </is>
      </c>
      <c r="J7" s="5" t="inlineStr">
        <is>
          <t>🔴 ANBEFALT UTLØST STAKS</t>
        </is>
      </c>
    </row>
    <row r="8">
      <c r="A8" s="4" t="inlineStr">
        <is>
          <t>TLT-04</t>
        </is>
      </c>
      <c r="B8" s="4" t="inlineStr">
        <is>
          <t>Kortsiktig EOY (M9-M12)</t>
        </is>
      </c>
      <c r="C8" s="5" t="inlineStr">
        <is>
          <t>Innkjøps- og vedlikeholdsstopp</t>
        </is>
      </c>
      <c r="D8" s="5" t="inlineStr">
        <is>
          <t>Utsettelse av ikke-kritiske nyinnkjøp, inventar og vedlikehold (art 1199/1200)</t>
        </is>
      </c>
      <c r="E8" s="5" t="inlineStr">
        <is>
          <t>Administrativt (Kommuneloven § 13-1 - Enhetsleder)</t>
        </is>
      </c>
      <c r="F8" s="6" t="n">
        <v>-150000</v>
      </c>
      <c r="G8" s="6" t="n">
        <v>-450000</v>
      </c>
      <c r="H8" s="4" t="inlineStr">
        <is>
          <t>Høy</t>
        </is>
      </c>
      <c r="I8" s="5" t="inlineStr">
        <is>
          <t>Lav - Ingen direkte innvirkning på innbyggertjenester</t>
        </is>
      </c>
      <c r="J8" s="5" t="inlineStr">
        <is>
          <t>🟢 ANBEFALT UTLØST</t>
        </is>
      </c>
    </row>
    <row r="9">
      <c r="A9" s="10" t="inlineStr">
        <is>
          <t>TLT-05</t>
        </is>
      </c>
      <c r="B9" s="10" t="inlineStr">
        <is>
          <t>Kortsiktig EOY (M12)</t>
        </is>
      </c>
      <c r="C9" s="11" t="inlineStr">
        <is>
          <t>Fondsinndragning (Disposisjonsfond)</t>
        </is>
      </c>
      <c r="D9" s="11" t="inlineStr">
        <is>
          <t>Omdisponering fra ubundne disposisjonsfond for å dekke uunngåelig merforbruk i helse</t>
        </is>
      </c>
      <c r="E9" s="11" t="inlineStr">
        <is>
          <t>Politisk vedtak i Bystyret (Kommuneloven § 14-6)</t>
        </is>
      </c>
      <c r="F9" s="12" t="n">
        <v>-800000</v>
      </c>
      <c r="G9" s="12" t="n">
        <v>0</v>
      </c>
      <c r="H9" s="10" t="inlineStr">
        <is>
          <t>Middels (Krever politisk flertall)</t>
        </is>
      </c>
      <c r="I9" s="11" t="inlineStr">
        <is>
          <t>Middels - Reduserer kommunens finansielle buffer for 2027</t>
        </is>
      </c>
      <c r="J9" s="11" t="inlineStr">
        <is>
          <t>🟡 KREVER BYSTYREVEDTAK</t>
        </is>
      </c>
    </row>
    <row r="10">
      <c r="A10" s="10" t="inlineStr">
        <is>
          <t>TLT-06</t>
        </is>
      </c>
      <c r="B10" s="10" t="inlineStr">
        <is>
          <t>Kortsiktig EOY (M12)</t>
        </is>
      </c>
      <c r="C10" s="11" t="inlineStr">
        <is>
          <t>Rammeoverføring mellom sektorer</t>
        </is>
      </c>
      <c r="D10" s="11" t="inlineStr">
        <is>
          <t>Bystyrevedtak om å omdisponere ubrukte midler fra sentral reserve til Helse og mestring</t>
        </is>
      </c>
      <c r="E10" s="11" t="inlineStr">
        <is>
          <t>Politisk vedtak i Bystyret (Kommuneloven § 14-10)</t>
        </is>
      </c>
      <c r="F10" s="12" t="n">
        <v>0</v>
      </c>
      <c r="G10" s="12" t="n">
        <v>0</v>
      </c>
      <c r="H10" s="10" t="inlineStr">
        <is>
          <t>Middels</t>
        </is>
      </c>
      <c r="I10" s="11" t="inlineStr">
        <is>
          <t>Lav - Nøytraliserer merforbruk innenfor samlet ramme</t>
        </is>
      </c>
      <c r="J10" s="11" t="inlineStr">
        <is>
          <t>🟡 KREVER BYSTYREVEDTAK</t>
        </is>
      </c>
    </row>
    <row r="11">
      <c r="A11" s="13" t="inlineStr">
        <is>
          <t>TLT-07</t>
        </is>
      </c>
      <c r="B11" s="13" t="inlineStr">
        <is>
          <t>Neste Års Budsjett (2027)</t>
        </is>
      </c>
      <c r="C11" s="14" t="inlineStr">
        <is>
          <t>Strukturell Stillingsomstilling</t>
        </is>
      </c>
      <c r="D11" s="14" t="inlineStr">
        <is>
          <t>Bemanningsreduksjon ved naturlig avgang (pensjonering/jobbbytte) uten nyrekruttering</t>
        </is>
      </c>
      <c r="E11" s="14" t="inlineStr">
        <is>
          <t>Politisk behandling (Økonomiplan / Kommuneloven § 14-3)</t>
        </is>
      </c>
      <c r="F11" s="15" t="n">
        <v>0</v>
      </c>
      <c r="G11" s="15" t="n">
        <v>-2700000</v>
      </c>
      <c r="H11" s="13" t="inlineStr">
        <is>
          <t>Middels (Langsiktig gjennomføring)</t>
        </is>
      </c>
      <c r="I11" s="14" t="inlineStr">
        <is>
          <t>Lav/Middels - Tilpasser organisasjonen til demografiendring</t>
        </is>
      </c>
      <c r="J11" s="14" t="inlineStr">
        <is>
          <t>🔵 INNGÅR I BUDSJETT 2027</t>
        </is>
      </c>
    </row>
    <row r="12">
      <c r="A12" s="13" t="inlineStr">
        <is>
          <t>TLT-08</t>
        </is>
      </c>
      <c r="B12" s="13" t="inlineStr">
        <is>
          <t>Neste Års Budsjett (2027)</t>
        </is>
      </c>
      <c r="C12" s="14" t="inlineStr">
        <is>
          <t>Gevinstutak KI-satsing</t>
        </is>
      </c>
      <c r="D12" s="14" t="inlineStr">
        <is>
          <t>Realisere 2,0 mill. kr i innsparingskrav via automatisert saksbehandling og RAG-støtte</t>
        </is>
      </c>
      <c r="E12" s="14" t="inlineStr">
        <is>
          <t>Politisk vedtak i Bystyret (Satsing Teknologiløft)</t>
        </is>
      </c>
      <c r="F12" s="15" t="n">
        <v>0</v>
      </c>
      <c r="G12" s="15" t="n">
        <v>-2000000</v>
      </c>
      <c r="H12" s="13" t="inlineStr">
        <is>
          <t>Høy</t>
        </is>
      </c>
      <c r="I12" s="14" t="inlineStr">
        <is>
          <t>Ingen - Frigjør saksbehandlerkapasitet</t>
        </is>
      </c>
      <c r="J12" s="14" t="inlineStr">
        <is>
          <t>🔵 INNGÅR I BUDSJETT 2027</t>
        </is>
      </c>
    </row>
    <row r="13">
      <c r="A13" s="13" t="inlineStr">
        <is>
          <t>TLT-09</t>
        </is>
      </c>
      <c r="B13" s="13" t="inlineStr">
        <is>
          <t>Langsiktig Økonomiplan (2027-2030)</t>
        </is>
      </c>
      <c r="C13" s="14" t="inlineStr">
        <is>
          <t>Tjenestestruktur &amp; Skolekretser</t>
        </is>
      </c>
      <c r="D13" s="14" t="inlineStr">
        <is>
          <t>Strukturell tilpasning av barnehage- og skolekapasitet i tråd med barnehagebehovsplan</t>
        </is>
      </c>
      <c r="E13" s="14" t="inlineStr">
        <is>
          <t>Politisk vedtak i Bystyret (Kommuneloven § 14-3)</t>
        </is>
      </c>
      <c r="F13" s="15" t="n">
        <v>0</v>
      </c>
      <c r="G13" s="15" t="n">
        <v>-5000000</v>
      </c>
      <c r="H13" s="13" t="inlineStr">
        <is>
          <t>Lav/Middels (Krever utredning og høring)</t>
        </is>
      </c>
      <c r="I13" s="14" t="inlineStr">
        <is>
          <t>Høy - Politisk krevende, berører nærmiljø</t>
        </is>
      </c>
      <c r="J13" s="14" t="inlineStr">
        <is>
          <t>🟣 LANGSIKTIG UTREDNING</t>
        </is>
      </c>
    </row>
    <row r="14">
      <c r="A14" s="16" t="n"/>
      <c r="B14" s="16" t="n"/>
      <c r="C14" s="16" t="n"/>
      <c r="D14" s="16" t="n"/>
      <c r="E14" s="17" t="inlineStr">
        <is>
          <t>SUM ANSLÅTT SPARING</t>
        </is>
      </c>
      <c r="F14" s="18">
        <f>SUM(F5:F13)</f>
        <v/>
      </c>
      <c r="G14" s="18">
        <f>SUM(G5:G13)</f>
        <v/>
      </c>
      <c r="H14" s="16" t="n"/>
      <c r="I14" s="16" t="n"/>
      <c r="J14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3" customWidth="1" min="2" max="2"/>
    <col width="30" customWidth="1" min="3" max="3"/>
    <col width="37" customWidth="1" min="4" max="4"/>
    <col width="18" customWidth="1" min="5" max="5"/>
    <col width="21" customWidth="1" min="6" max="6"/>
    <col width="50" customWidth="1" min="7" max="7"/>
  </cols>
  <sheetData>
    <row r="1">
      <c r="A1" s="1" t="inlineStr">
        <is>
          <t>EXECUTIVE OPPSUMMERING: TILTAK EOY OG FULLÅRSEFFEKT PER OMRÅDE</t>
        </is>
      </c>
    </row>
    <row r="2">
      <c r="A2" s="2" t="inlineStr">
        <is>
          <t>Aggregert oversikt over anbefalte rammejusteringer for Kristiansand Kommune</t>
        </is>
      </c>
    </row>
    <row r="3"/>
    <row r="4" ht="28" customHeight="1">
      <c r="A4" s="3" t="inlineStr">
        <is>
          <t>Område Kode</t>
        </is>
      </c>
      <c r="B4" s="3" t="inlineStr">
        <is>
          <t>Område Navn</t>
        </is>
      </c>
      <c r="C4" s="3" t="inlineStr">
        <is>
          <t>Administrativt EOY (§ 13-1)</t>
        </is>
      </c>
      <c r="D4" s="3" t="inlineStr">
        <is>
          <t>Politisk Vedtak EOY (§ 14-6/14-10)</t>
        </is>
      </c>
      <c r="E4" s="3" t="inlineStr">
        <is>
          <t>Totalt EOY 2026</t>
        </is>
      </c>
      <c r="F4" s="3" t="inlineStr">
        <is>
          <t>Fullårseffekt 2027</t>
        </is>
      </c>
      <c r="G4" s="3" t="inlineStr">
        <is>
          <t>Hovedtiltak</t>
        </is>
      </c>
    </row>
    <row r="5">
      <c r="A5" s="7" t="inlineStr">
        <is>
          <t>Område 2</t>
        </is>
      </c>
      <c r="B5" s="8" t="inlineStr">
        <is>
          <t>Oppvekst (Skole &amp; Barnehage)</t>
        </is>
      </c>
      <c r="C5" s="9" t="n">
        <v>-530000</v>
      </c>
      <c r="D5" s="9" t="n">
        <v>0</v>
      </c>
      <c r="E5" s="9" t="n">
        <v>-530000</v>
      </c>
      <c r="F5" s="9" t="n">
        <v>-2790000</v>
      </c>
      <c r="G5" s="8" t="inlineStr">
        <is>
          <t>Vikar-/overtidsstopp EOY + Stillingsomstilling 2027</t>
        </is>
      </c>
    </row>
    <row r="6">
      <c r="A6" s="7" t="inlineStr">
        <is>
          <t>Område 3</t>
        </is>
      </c>
      <c r="B6" s="8" t="inlineStr">
        <is>
          <t>Helse og mestring</t>
        </is>
      </c>
      <c r="C6" s="9" t="n">
        <v>-670000</v>
      </c>
      <c r="D6" s="9" t="n">
        <v>800000</v>
      </c>
      <c r="E6" s="9" t="n">
        <v>130000</v>
      </c>
      <c r="F6" s="9" t="n">
        <v>-3510000</v>
      </c>
      <c r="G6" s="8" t="inlineStr">
        <is>
          <t>Optur Plus kvelds/helgejustering + Rammetilførsel EOY</t>
        </is>
      </c>
    </row>
    <row r="7">
      <c r="A7" s="7" t="inlineStr">
        <is>
          <t>Område 5</t>
        </is>
      </c>
      <c r="B7" s="8" t="inlineStr">
        <is>
          <t>By- og stedsutvikling</t>
        </is>
      </c>
      <c r="C7" s="9" t="n">
        <v>-150000</v>
      </c>
      <c r="D7" s="9" t="n">
        <v>0</v>
      </c>
      <c r="E7" s="9" t="n">
        <v>-150000</v>
      </c>
      <c r="F7" s="9" t="n">
        <v>-450000</v>
      </c>
      <c r="G7" s="8" t="inlineStr">
        <is>
          <t>Utsettelse av ikke-kritiske vedlikeholdsinnkjøp</t>
        </is>
      </c>
    </row>
    <row r="8">
      <c r="A8" s="7" t="inlineStr">
        <is>
          <t>Område 11</t>
        </is>
      </c>
      <c r="B8" s="8" t="inlineStr">
        <is>
          <t>Organisasjon og teknologi</t>
        </is>
      </c>
      <c r="C8" s="9" t="n">
        <v>-500000</v>
      </c>
      <c r="D8" s="9" t="n">
        <v>0</v>
      </c>
      <c r="E8" s="9" t="n">
        <v>-500000</v>
      </c>
      <c r="F8" s="9" t="n">
        <v>-1500000</v>
      </c>
      <c r="G8" s="8" t="inlineStr">
        <is>
          <t>Konsulentfrys på IT og organisasjonsprosjekter</t>
        </is>
      </c>
    </row>
    <row r="9">
      <c r="A9" s="7" t="inlineStr">
        <is>
          <t>Område 12</t>
        </is>
      </c>
      <c r="B9" s="8" t="inlineStr">
        <is>
          <t>Økonomi og virksomhetsstyring</t>
        </is>
      </c>
      <c r="C9" s="9" t="n">
        <v>0</v>
      </c>
      <c r="D9" s="9" t="n">
        <v>0</v>
      </c>
      <c r="E9" s="9" t="n">
        <v>0</v>
      </c>
      <c r="F9" s="9" t="n">
        <v>-800000</v>
      </c>
      <c r="G9" s="8" t="inlineStr">
        <is>
          <t>KI-gevinstutak på saksbehandling og analyse</t>
        </is>
      </c>
    </row>
    <row r="10">
      <c r="A10" s="7" t="inlineStr">
        <is>
          <t>Område 9</t>
        </is>
      </c>
      <c r="B10" s="8" t="inlineStr">
        <is>
          <t>Finans, skatt og rammetilskudd</t>
        </is>
      </c>
      <c r="C10" s="9" t="n">
        <v>0</v>
      </c>
      <c r="D10" s="9" t="n">
        <v>-800000</v>
      </c>
      <c r="E10" s="9" t="n">
        <v>-800000</v>
      </c>
      <c r="F10" s="9" t="n">
        <v>0</v>
      </c>
      <c r="G10" s="8" t="inlineStr">
        <is>
          <t>Inndragning fra disposisjonsfond (Bystyrevedtak)</t>
        </is>
      </c>
    </row>
    <row r="11">
      <c r="A11" s="16" t="n"/>
      <c r="B11" s="17" t="inlineStr">
        <is>
          <t>TOTALT KRISTIANSAND KOMMUNE</t>
        </is>
      </c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  <c r="G11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2026-10-31T17:24:12Z</dcterms:created>
  <dcterms:modified xmlns:dcterms="http://purl.org/dc/terms/" xmlns:xsi="http://www.w3.org/2001/XMLSchema-instance" xsi:type="dcterms:W3CDTF">2026-10-31T17:24:13Z</dcterms:modified>
</cp:coreProperties>
</file>